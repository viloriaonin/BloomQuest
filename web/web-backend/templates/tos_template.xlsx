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S" sheetId="1" state="visible" r:id="rId3"/>
    <sheet name="Sheet2" sheetId="2" state="visible" r:id="rId4"/>
    <sheet name="Sheet3" sheetId="3" state="visible" r:id="rId5"/>
    <sheet name="types of test" sheetId="4" state="visible" r:id="rId6"/>
    <sheet name="Sheet1" sheetId="5" state="visible" r:id="rId7"/>
  </sheets>
  <definedNames>
    <definedName function="false" hidden="false" localSheetId="0" name="_xlnm.Print_Area" vbProcedure="false">TOS!$B$7:$S$35</definedName>
    <definedName function="false" hidden="false" localSheetId="3" name="_xlnm.Print_Area" vbProcedure="false">'types of test'!$A$1:$C$9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3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H24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H25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J23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J24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J25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L23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L24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L25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N23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N24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N25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P23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P24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P25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R23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R24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R25" authorId="0">
      <text>
        <r>
          <rPr>
            <sz val="10"/>
            <rFont val="Arial"/>
            <family val="2"/>
          </rPr>
          <t xml:space="preserve">Input: item count for this Bloom level, expressed as a fraction, e.g. =4/$S$26 (4 items out of the grand total).</t>
        </r>
      </text>
    </comment>
    <comment ref="S26" authorId="0">
      <text>
        <r>
          <rPr>
            <sz val="10"/>
            <rFont val="Arial"/>
            <family val="2"/>
          </rPr>
          <t xml:space="preserve">User/system input: total no. of test items/points for the whole exam.</t>
        </r>
      </text>
    </comment>
  </commentList>
</comments>
</file>

<file path=xl/sharedStrings.xml><?xml version="1.0" encoding="utf-8"?>
<sst xmlns="http://schemas.openxmlformats.org/spreadsheetml/2006/main" count="132" uniqueCount="117">
  <si>
    <t xml:space="preserve">Republic of the Philippines</t>
  </si>
  <si>
    <t xml:space="preserve">BATANGAS STATE UNIVERSITY</t>
  </si>
  <si>
    <t xml:space="preserve">The National Engineering University</t>
  </si>
  <si>
    <t xml:space="preserve">Lipa Campus</t>
  </si>
  <si>
    <t xml:space="preserve">A.  Tanco  Drive,  Marawoy,  Lipa  City,  Batangas , Philippines  4217</t>
  </si>
  <si>
    <t xml:space="preserve">Tel  Nos. : (+63 43) 980-0385; 980-0392 to local  3130</t>
  </si>
  <si>
    <t xml:space="preserve">E-mail Address: cics.lipa@g.batstate-u.edu.ph | Website Address: http://www.batstate-u.edu.ph</t>
  </si>
  <si>
    <t xml:space="preserve">                         College of Informatics and Computing Sciences</t>
  </si>
  <si>
    <t xml:space="preserve">TABLE OF SPECIFICATIONS
Final Examination
First Semester, AY 2025 – 2026</t>
  </si>
  <si>
    <t xml:space="preserve">COURSE CODE : CC 101</t>
  </si>
  <si>
    <t xml:space="preserve">COURSE TITLE: Computer Programming</t>
  </si>
  <si>
    <t xml:space="preserve"> Indicate the test items that correspond to the following levels of Intended Learning Outcomes</t>
  </si>
  <si>
    <t xml:space="preserve">TOPICS</t>
  </si>
  <si>
    <t xml:space="preserve">*ILOs</t>
  </si>
  <si>
    <t xml:space="preserve">NO. OF HRS </t>
  </si>
  <si>
    <t xml:space="preserve">WEIGHT (%) **</t>
  </si>
  <si>
    <t xml:space="preserve">REMEMBER</t>
  </si>
  <si>
    <t xml:space="preserve">%</t>
  </si>
  <si>
    <t xml:space="preserve">UNDERSTAND</t>
  </si>
  <si>
    <t xml:space="preserve">APPLY </t>
  </si>
  <si>
    <t xml:space="preserve">ANALYZE</t>
  </si>
  <si>
    <t xml:space="preserve">EVALUATE</t>
  </si>
  <si>
    <t xml:space="preserve">CREATE</t>
  </si>
  <si>
    <t xml:space="preserve">TOTAL NO. OF POINTS</t>
  </si>
  <si>
    <t xml:space="preserve">A*</t>
  </si>
  <si>
    <t xml:space="preserve">B*</t>
  </si>
  <si>
    <t xml:space="preserve">Total</t>
  </si>
  <si>
    <t xml:space="preserve">Prepared by:</t>
  </si>
  <si>
    <t xml:space="preserve">Checked and Verified by:</t>
  </si>
  <si>
    <t xml:space="preserve">Approved by:</t>
  </si>
  <si>
    <t xml:space="preserve">RICHELLE M. SULIT                   ALDRENE VICTOR ATIENZA
RITCHIE CAIBIGAN                   FRANCES MARIELLE LUMANGLAS	
MELANDRO FLORO</t>
  </si>
  <si>
    <t xml:space="preserve">Mr. DIONECES O. ALIMOREN</t>
  </si>
  <si>
    <t xml:space="preserve">Dr. RYNDEL V. AMORADO</t>
  </si>
  <si>
    <t xml:space="preserve">Instructor</t>
  </si>
  <si>
    <t xml:space="preserve">Program Chair, BSIT</t>
  </si>
  <si>
    <t xml:space="preserve">Dean, CICS</t>
  </si>
  <si>
    <t xml:space="preserve">Date:</t>
  </si>
  <si>
    <t xml:space="preserve">*ILO - Intended Learning Outcomes</t>
  </si>
  <si>
    <t xml:space="preserve">*A - No. of hours the topic was covered in class</t>
  </si>
  <si>
    <t xml:space="preserve">*B - No. of minutes alloted to answer the test item/s</t>
  </si>
  <si>
    <t xml:space="preserve">**Weight (%) = (no. of  points for a given topic /total no. of points)* 100</t>
  </si>
  <si>
    <t xml:space="preserve">Periodic Relationships Among the Elements </t>
  </si>
  <si>
    <t xml:space="preserve">  Chemical Bonding: Basic Concepts</t>
  </si>
  <si>
    <t xml:space="preserve">Chemical Bonding: Molecular Geometry</t>
  </si>
  <si>
    <t xml:space="preserve">1.1   Periodic Relationships Among the   Elements</t>
  </si>
  <si>
    <t xml:space="preserve">1.2      Periodic Variation in Physical Properties</t>
  </si>
  <si>
    <t xml:space="preserve">1.3      Ionization Energy</t>
  </si>
  <si>
    <t xml:space="preserve"> Electron affinity</t>
  </si>
  <si>
    <t xml:space="preserve">1.1   Lewis Dot Structure</t>
  </si>
  <si>
    <t xml:space="preserve">1.2    The Ionic Bond</t>
  </si>
  <si>
    <t xml:space="preserve">1.3    The Covalent Bond</t>
  </si>
  <si>
    <t xml:space="preserve">1.4    Electronegativity</t>
  </si>
  <si>
    <t xml:space="preserve">1.5    Writing Lewis Structure</t>
  </si>
  <si>
    <t xml:space="preserve">1.6    The Concept of Resonance</t>
  </si>
  <si>
    <t xml:space="preserve">1.7    Bond Energy</t>
  </si>
  <si>
    <t xml:space="preserve">1.1   Molecular Geometry</t>
  </si>
  <si>
    <t xml:space="preserve">1.2    Dipole Moments</t>
  </si>
  <si>
    <t xml:space="preserve">1.3    The Valence Bond Theory</t>
  </si>
  <si>
    <t xml:space="preserve">type of test</t>
  </si>
  <si>
    <t xml:space="preserve">true or false</t>
  </si>
  <si>
    <t xml:space="preserve">1 --- 10</t>
  </si>
  <si>
    <t xml:space="preserve">multiple choice</t>
  </si>
  <si>
    <t xml:space="preserve">11---35</t>
  </si>
  <si>
    <t xml:space="preserve">fill in the blanks</t>
  </si>
  <si>
    <t xml:space="preserve">36-50</t>
  </si>
  <si>
    <t xml:space="preserve">application</t>
  </si>
  <si>
    <t xml:space="preserve">51-60</t>
  </si>
  <si>
    <t xml:space="preserve">61-70</t>
  </si>
  <si>
    <t xml:space="preserve">problem solving</t>
  </si>
  <si>
    <t xml:space="preserve">71-95</t>
  </si>
  <si>
    <t xml:space="preserve">essay</t>
  </si>
  <si>
    <t xml:space="preserve">96-100</t>
  </si>
  <si>
    <t xml:space="preserve">Measurement and Handling Numbers</t>
  </si>
  <si>
    <t xml:space="preserve">20 pts problem solving; accuracy for true or false; 2 for conversion (MC)</t>
  </si>
  <si>
    <t xml:space="preserve">Chemistry: An Overview</t>
  </si>
  <si>
    <t xml:space="preserve">matter; T or F</t>
  </si>
  <si>
    <t xml:space="preserve">Fundamental Chemical Laws</t>
  </si>
  <si>
    <t xml:space="preserve">Matching Type; </t>
  </si>
  <si>
    <t xml:space="preserve">Atomic Structure and Periodicity</t>
  </si>
  <si>
    <t xml:space="preserve">The Electromagnetic Spectrrum</t>
  </si>
  <si>
    <t xml:space="preserve">T or F; MC; MT</t>
  </si>
  <si>
    <t xml:space="preserve">Quantum Mechanical Model of the Atom</t>
  </si>
  <si>
    <t xml:space="preserve">MC;</t>
  </si>
  <si>
    <t xml:space="preserve">The Pauli Exclusion Principle</t>
  </si>
  <si>
    <t xml:space="preserve">MT; MC</t>
  </si>
  <si>
    <t xml:space="preserve">Periodic Table and Electron Configuration</t>
  </si>
  <si>
    <t xml:space="preserve">Application; Essay</t>
  </si>
  <si>
    <t xml:space="preserve">Periodic Trends in Atomic Properties</t>
  </si>
  <si>
    <t xml:space="preserve">MC; Application</t>
  </si>
  <si>
    <t xml:space="preserve">Customer ID</t>
  </si>
  <si>
    <t xml:space="preserve">Name</t>
  </si>
  <si>
    <t xml:space="preserve">Gender</t>
  </si>
  <si>
    <t xml:space="preserve">Region</t>
  </si>
  <si>
    <t xml:space="preserve">Sales</t>
  </si>
  <si>
    <t xml:space="preserve">Salary</t>
  </si>
  <si>
    <t xml:space="preserve">Date</t>
  </si>
  <si>
    <t xml:space="preserve">Notes</t>
  </si>
  <si>
    <t xml:space="preserve">C001</t>
  </si>
  <si>
    <t xml:space="preserve">Ana</t>
  </si>
  <si>
    <t xml:space="preserve">Female</t>
  </si>
  <si>
    <t xml:space="preserve">North</t>
  </si>
  <si>
    <t xml:space="preserve">C002</t>
  </si>
  <si>
    <t xml:space="preserve">Ben</t>
  </si>
  <si>
    <t xml:space="preserve">Male</t>
  </si>
  <si>
    <t xml:space="preserve">South</t>
  </si>
  <si>
    <t xml:space="preserve">VIP</t>
  </si>
  <si>
    <t xml:space="preserve">C003</t>
  </si>
  <si>
    <t xml:space="preserve">Cara</t>
  </si>
  <si>
    <t xml:space="preserve">C004</t>
  </si>
  <si>
    <t xml:space="preserve">Dan</t>
  </si>
  <si>
    <t xml:space="preserve">West</t>
  </si>
  <si>
    <t xml:space="preserve">Repeat</t>
  </si>
  <si>
    <t xml:space="preserve">C005</t>
  </si>
  <si>
    <t xml:space="preserve">Ella</t>
  </si>
  <si>
    <t xml:space="preserve">East</t>
  </si>
  <si>
    <t xml:space="preserve">C006</t>
  </si>
  <si>
    <t xml:space="preserve">Mike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</si>
</sst>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0"/>
    <numFmt numFmtId="167" formatCode="0%"/>
    <numFmt numFmtId="168" formatCode="0.00%"/>
    <numFmt numFmtId="169" formatCode="0"/>
    <numFmt numFmtId="170" formatCode="d\-mmm"/>
    <numFmt numFmtId="171" formatCode="m/d/yyyy"/>
  </numFmts>
  <fonts count="2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sz val="20"/>
      <color rgb="FF000000"/>
      <name val="Times New Roman"/>
      <family val="1"/>
      <charset val="1"/>
    </font>
    <font>
      <b val="true"/>
      <sz val="12"/>
      <color rgb="FFFF0000"/>
      <name val="Arial"/>
      <family val="2"/>
      <charset val="1"/>
    </font>
    <font>
      <b val="true"/>
      <sz val="10"/>
      <color rgb="FF363435"/>
      <name val="Times New Roman"/>
      <family val="1"/>
      <charset val="1"/>
    </font>
    <font>
      <sz val="10"/>
      <color rgb="FF363435"/>
      <name val="Times New Roman"/>
      <family val="1"/>
      <charset val="1"/>
    </font>
    <font>
      <sz val="10"/>
      <color rgb="FF000000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i val="true"/>
      <sz val="10"/>
      <color rgb="FF00000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  <font>
      <i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name val="Arial"/>
      <family val="2"/>
    </font>
    <font>
      <sz val="12"/>
      <name val="Arial"/>
      <family val="2"/>
      <charset val="1"/>
    </font>
    <font>
      <sz val="12"/>
      <name val="Times New Roman"/>
      <family val="1"/>
      <charset val="1"/>
    </font>
    <font>
      <sz val="10"/>
      <color rgb="FF000000"/>
      <name val="Arial Narrow"/>
      <family val="2"/>
      <charset val="1"/>
    </font>
    <font>
      <b val="true"/>
      <sz val="10"/>
      <color rgb="FF000000"/>
      <name val="Arial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7999"/>
        <bgColor rgb="FFCC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4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5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Sheet1" xfId="20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634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1276560</xdr:colOff>
      <xdr:row>6</xdr:row>
      <xdr:rowOff>96840</xdr:rowOff>
    </xdr:from>
    <xdr:to>
      <xdr:col>2</xdr:col>
      <xdr:colOff>725760</xdr:colOff>
      <xdr:row>12</xdr:row>
      <xdr:rowOff>132480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918440" y="1077840"/>
          <a:ext cx="1352520" cy="12740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B4:I10" headerRowCount="1" totalsRowCount="0" totalsRowShown="0">
  <autoFilter ref="B4:I10"/>
  <tableColumns count="8">
    <tableColumn id="1" name="Customer ID"/>
    <tableColumn id="2" name="Name"/>
    <tableColumn id="3" name="Gender"/>
    <tableColumn id="4" name="Region"/>
    <tableColumn id="5" name="Sales"/>
    <tableColumn id="6" name="Salary"/>
    <tableColumn id="7" name="Date"/>
    <tableColumn id="8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6:S38"/>
  <sheetViews>
    <sheetView showFormulas="false" showGridLines="true" showRowColHeaders="true" showZeros="true" rightToLeft="false" tabSelected="true" showOutlineSymbols="true" defaultGridColor="true" view="pageBreakPreview" topLeftCell="A21" colorId="64" zoomScale="100" zoomScaleNormal="100" zoomScalePageLayoutView="100" workbookViewId="0">
      <selection pane="topLeft" activeCell="T28" activeCellId="0" sqref="T28"/>
    </sheetView>
  </sheetViews>
  <sheetFormatPr defaultColWidth="9.109375" defaultRowHeight="12.7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7"/>
    <col collapsed="false" customWidth="true" hidden="false" outlineLevel="0" max="3" min="3" style="1" width="10.33"/>
    <col collapsed="false" customWidth="true" hidden="false" outlineLevel="0" max="4" min="4" style="1" width="6.67"/>
    <col collapsed="false" customWidth="true" hidden="false" outlineLevel="0" max="5" min="5" style="1" width="6.56"/>
    <col collapsed="false" customWidth="true" hidden="false" outlineLevel="0" max="6" min="6" style="1" width="12.11"/>
    <col collapsed="false" customWidth="true" hidden="false" outlineLevel="0" max="7" min="7" style="1" width="11.67"/>
    <col collapsed="false" customWidth="true" hidden="false" outlineLevel="0" max="8" min="8" style="1" width="7.33"/>
    <col collapsed="false" customWidth="true" hidden="false" outlineLevel="0" max="9" min="9" style="1" width="15.66"/>
    <col collapsed="false" customWidth="true" hidden="false" outlineLevel="0" max="10" min="10" style="1" width="6.33"/>
    <col collapsed="false" customWidth="true" hidden="false" outlineLevel="0" max="11" min="11" style="1" width="12.11"/>
    <col collapsed="false" customWidth="true" hidden="false" outlineLevel="0" max="12" min="12" style="1" width="6.11"/>
    <col collapsed="false" customWidth="true" hidden="false" outlineLevel="0" max="13" min="13" style="1" width="9.33"/>
    <col collapsed="false" customWidth="true" hidden="false" outlineLevel="0" max="14" min="14" style="1" width="7.33"/>
    <col collapsed="false" customWidth="true" hidden="false" outlineLevel="0" max="15" min="15" style="1" width="11.33"/>
    <col collapsed="false" customWidth="true" hidden="false" outlineLevel="0" max="16" min="16" style="1" width="9"/>
    <col collapsed="false" customWidth="true" hidden="false" outlineLevel="0" max="17" min="17" style="1" width="10.88"/>
    <col collapsed="false" customWidth="true" hidden="false" outlineLevel="0" max="18" min="18" style="1" width="7.33"/>
    <col collapsed="false" customWidth="true" hidden="false" outlineLevel="0" max="19" min="19" style="1" width="10"/>
    <col collapsed="false" customWidth="false" hidden="false" outlineLevel="0" max="16384" min="20" style="1" width="9.11"/>
  </cols>
  <sheetData>
    <row r="6" customFormat="false" ht="13.5" hidden="false" customHeight="true" outlineLevel="0" collapsed="false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customFormat="false" ht="15" hidden="false" customHeight="true" outlineLevel="0" collapsed="false">
      <c r="B7" s="3" t="s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customFormat="false" ht="19.5" hidden="false" customHeight="true" outlineLevel="0" collapsed="false">
      <c r="B8" s="4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customFormat="false" ht="15.75" hidden="false" customHeight="true" outlineLevel="0" collapsed="false">
      <c r="B9" s="5" t="s">
        <v>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customFormat="false" ht="15.75" hidden="false" customHeight="true" outlineLevel="0" collapsed="false">
      <c r="B10" s="6" t="s">
        <v>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customFormat="false" ht="15.75" hidden="false" customHeight="true" outlineLevel="0" collapsed="false">
      <c r="B11" s="7" t="s">
        <v>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customFormat="false" ht="15.75" hidden="false" customHeight="true" outlineLevel="0" collapsed="false">
      <c r="B12" s="8" t="s">
        <v>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customFormat="false" ht="15.75" hidden="false" customHeight="true" outlineLevel="0" collapsed="false">
      <c r="B13" s="9" t="s">
        <v>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customFormat="false" ht="15.75" hidden="false" customHeight="true" outlineLevel="0" collapsed="false">
      <c r="B14" s="10" t="s">
        <v>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customFormat="false" ht="15.75" hidden="false" customHeight="true" outlineLevel="0" collapsed="false">
      <c r="B15" s="11" t="s">
        <v>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customFormat="false" ht="39.75" hidden="false" customHeight="true" outlineLevel="0" collapsed="false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customFormat="false" ht="13.5" hidden="false" customHeight="true" outlineLevel="0" collapsed="false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customFormat="false" ht="13.5" hidden="false" customHeight="true" outlineLevel="0" collapsed="false">
      <c r="B18" s="12" t="s">
        <v>9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customFormat="false" ht="14.25" hidden="false" customHeight="true" outlineLevel="0" collapsed="false">
      <c r="B19" s="13" t="s">
        <v>10</v>
      </c>
      <c r="C19" s="13"/>
      <c r="D19" s="13"/>
      <c r="E19" s="1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customFormat="false" ht="14.25" hidden="false" customHeight="true" outlineLevel="0" collapsed="false">
      <c r="B20" s="15"/>
      <c r="C20" s="16"/>
      <c r="D20" s="17"/>
      <c r="E20" s="17"/>
      <c r="F20" s="17"/>
      <c r="G20" s="18" t="s">
        <v>11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</row>
    <row r="21" customFormat="false" ht="27" hidden="false" customHeight="true" outlineLevel="0" collapsed="false">
      <c r="B21" s="19" t="s">
        <v>12</v>
      </c>
      <c r="C21" s="20" t="s">
        <v>13</v>
      </c>
      <c r="D21" s="19" t="s">
        <v>14</v>
      </c>
      <c r="E21" s="19"/>
      <c r="F21" s="19" t="s">
        <v>15</v>
      </c>
      <c r="G21" s="19" t="s">
        <v>16</v>
      </c>
      <c r="H21" s="19" t="s">
        <v>17</v>
      </c>
      <c r="I21" s="19" t="s">
        <v>18</v>
      </c>
      <c r="J21" s="19" t="s">
        <v>17</v>
      </c>
      <c r="K21" s="19" t="s">
        <v>19</v>
      </c>
      <c r="L21" s="19" t="s">
        <v>17</v>
      </c>
      <c r="M21" s="19" t="s">
        <v>20</v>
      </c>
      <c r="N21" s="19" t="s">
        <v>17</v>
      </c>
      <c r="O21" s="19" t="s">
        <v>21</v>
      </c>
      <c r="P21" s="19" t="s">
        <v>17</v>
      </c>
      <c r="Q21" s="19" t="s">
        <v>22</v>
      </c>
      <c r="R21" s="19" t="s">
        <v>17</v>
      </c>
      <c r="S21" s="19" t="s">
        <v>23</v>
      </c>
    </row>
    <row r="22" customFormat="false" ht="13.5" hidden="false" customHeight="true" outlineLevel="0" collapsed="false">
      <c r="B22" s="21"/>
      <c r="C22" s="21"/>
      <c r="D22" s="22" t="s">
        <v>24</v>
      </c>
      <c r="E22" s="22" t="s">
        <v>25</v>
      </c>
      <c r="F22" s="21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customFormat="false" ht="33" hidden="false" customHeight="true" outlineLevel="0" collapsed="false">
      <c r="B23" s="23"/>
      <c r="C23" s="24"/>
      <c r="D23" s="25"/>
      <c r="E23" s="26" t="n">
        <f aca="false">IFERROR((D23/$D$26*60)/60,0)</f>
        <v>0</v>
      </c>
      <c r="F23" s="26" t="n">
        <f aca="false">IFERROR(S23/SUM($S$23:$S$25)*100,0)</f>
        <v>0</v>
      </c>
      <c r="G23" s="27"/>
      <c r="H23" s="28"/>
      <c r="I23" s="24"/>
      <c r="J23" s="28"/>
      <c r="K23" s="24"/>
      <c r="L23" s="28"/>
      <c r="M23" s="24"/>
      <c r="N23" s="29"/>
      <c r="O23" s="24"/>
      <c r="P23" s="29"/>
      <c r="Q23" s="24"/>
      <c r="R23" s="29"/>
      <c r="S23" s="29" t="n">
        <f aca="false">(H23+J23+L23+N23+P23+R23)*$S$26</f>
        <v>0</v>
      </c>
    </row>
    <row r="24" customFormat="false" ht="36.75" hidden="false" customHeight="true" outlineLevel="0" collapsed="false">
      <c r="B24" s="23"/>
      <c r="C24" s="24"/>
      <c r="D24" s="25"/>
      <c r="E24" s="26" t="n">
        <f aca="false">IFERROR((D24/$D$26*60)/60,0)</f>
        <v>0</v>
      </c>
      <c r="F24" s="26" t="n">
        <f aca="false">IFERROR(S24/SUM($S$23:$S$25)*100,0)</f>
        <v>0</v>
      </c>
      <c r="G24" s="27"/>
      <c r="H24" s="28"/>
      <c r="I24" s="24"/>
      <c r="J24" s="28"/>
      <c r="K24" s="24"/>
      <c r="L24" s="28"/>
      <c r="M24" s="24"/>
      <c r="N24" s="30"/>
      <c r="O24" s="24"/>
      <c r="P24" s="29"/>
      <c r="Q24" s="24"/>
      <c r="R24" s="28"/>
      <c r="S24" s="29" t="n">
        <f aca="false">(H24+J24+L24+N24+P24+R24)*$S$26</f>
        <v>0</v>
      </c>
    </row>
    <row r="25" customFormat="false" ht="33.75" hidden="false" customHeight="true" outlineLevel="0" collapsed="false">
      <c r="B25" s="23"/>
      <c r="C25" s="24"/>
      <c r="D25" s="25"/>
      <c r="E25" s="26" t="n">
        <f aca="false">IFERROR((D25/$D$26*60)/60,0)</f>
        <v>0</v>
      </c>
      <c r="F25" s="26" t="n">
        <f aca="false">IFERROR(S25/SUM($S$23:$S$25)*100,0)</f>
        <v>0</v>
      </c>
      <c r="G25" s="27"/>
      <c r="H25" s="28"/>
      <c r="I25" s="24"/>
      <c r="J25" s="28"/>
      <c r="K25" s="24"/>
      <c r="L25" s="28"/>
      <c r="M25" s="24"/>
      <c r="N25" s="29"/>
      <c r="O25" s="24"/>
      <c r="P25" s="30"/>
      <c r="Q25" s="24"/>
      <c r="R25" s="28"/>
      <c r="S25" s="29" t="n">
        <f aca="false">(H25+J25+L25+N25+P25+R25)*$S$26</f>
        <v>0</v>
      </c>
    </row>
    <row r="26" customFormat="false" ht="13.5" hidden="false" customHeight="true" outlineLevel="0" collapsed="false">
      <c r="B26" s="31" t="s">
        <v>26</v>
      </c>
      <c r="C26" s="31"/>
      <c r="D26" s="32" t="n">
        <f aca="false">SUM(D23:D25)</f>
        <v>0</v>
      </c>
      <c r="E26" s="33" t="n">
        <f aca="false">SUM(E23:E25)</f>
        <v>0</v>
      </c>
      <c r="F26" s="33" t="n">
        <f aca="false">SUM(F23:F25)</f>
        <v>0</v>
      </c>
      <c r="G26" s="34"/>
      <c r="H26" s="35" t="n">
        <f aca="false">SUM(H23:H25)</f>
        <v>0</v>
      </c>
      <c r="I26" s="36"/>
      <c r="J26" s="37" t="n">
        <f aca="false">SUM(J23:J25)</f>
        <v>0</v>
      </c>
      <c r="K26" s="36"/>
      <c r="L26" s="37" t="n">
        <f aca="false">SUM(L23:L25)</f>
        <v>0</v>
      </c>
      <c r="M26" s="36"/>
      <c r="N26" s="37" t="n">
        <f aca="false">SUM(N23:N25)</f>
        <v>0</v>
      </c>
      <c r="O26" s="38"/>
      <c r="P26" s="37" t="n">
        <f aca="false">SUM(P23:P25)</f>
        <v>0</v>
      </c>
      <c r="Q26" s="38"/>
      <c r="R26" s="37" t="n">
        <f aca="false">SUM(R23:R25)</f>
        <v>0</v>
      </c>
      <c r="S26" s="39"/>
    </row>
    <row r="27" customFormat="false" ht="13.5" hidden="false" customHeight="true" outlineLevel="0" collapsed="false">
      <c r="B27" s="40" t="s">
        <v>27</v>
      </c>
      <c r="C27" s="41"/>
      <c r="D27" s="41"/>
      <c r="E27" s="42"/>
      <c r="F27" s="42"/>
      <c r="G27" s="42"/>
      <c r="H27" s="42"/>
      <c r="I27" s="43" t="s">
        <v>28</v>
      </c>
      <c r="J27" s="43"/>
      <c r="K27" s="43"/>
      <c r="L27" s="43"/>
      <c r="M27" s="43"/>
      <c r="N27" s="43"/>
      <c r="O27" s="43" t="s">
        <v>29</v>
      </c>
      <c r="P27" s="43"/>
      <c r="Q27" s="43"/>
      <c r="R27" s="43"/>
      <c r="S27" s="43"/>
    </row>
    <row r="28" customFormat="false" ht="13.5" hidden="false" customHeight="true" outlineLevel="0" collapsed="false">
      <c r="B28" s="44"/>
      <c r="C28" s="45"/>
      <c r="D28" s="45"/>
      <c r="E28" s="45"/>
      <c r="F28" s="45"/>
      <c r="G28" s="45"/>
      <c r="H28" s="45"/>
      <c r="I28" s="44"/>
      <c r="J28" s="45"/>
      <c r="K28" s="45"/>
      <c r="L28" s="45"/>
      <c r="M28" s="45"/>
      <c r="N28" s="46"/>
      <c r="O28" s="44"/>
      <c r="P28" s="45"/>
      <c r="Q28" s="45"/>
      <c r="R28" s="45"/>
      <c r="S28" s="46"/>
    </row>
    <row r="29" customFormat="false" ht="72" hidden="false" customHeight="true" outlineLevel="0" collapsed="false">
      <c r="B29" s="47" t="s">
        <v>30</v>
      </c>
      <c r="C29" s="47"/>
      <c r="D29" s="47"/>
      <c r="E29" s="47"/>
      <c r="F29" s="47"/>
      <c r="G29" s="47"/>
      <c r="H29" s="47"/>
      <c r="I29" s="47" t="s">
        <v>31</v>
      </c>
      <c r="J29" s="47"/>
      <c r="K29" s="47"/>
      <c r="L29" s="47"/>
      <c r="M29" s="47"/>
      <c r="N29" s="48"/>
      <c r="O29" s="47" t="s">
        <v>32</v>
      </c>
      <c r="P29" s="47"/>
      <c r="Q29" s="47"/>
      <c r="R29" s="47"/>
      <c r="S29" s="48"/>
    </row>
    <row r="30" s="49" customFormat="true" ht="13.5" hidden="false" customHeight="true" outlineLevel="0" collapsed="false">
      <c r="B30" s="44" t="s">
        <v>33</v>
      </c>
      <c r="C30" s="45"/>
      <c r="D30" s="45"/>
      <c r="E30" s="50"/>
      <c r="F30" s="50"/>
      <c r="G30" s="50"/>
      <c r="H30" s="50"/>
      <c r="I30" s="51" t="s">
        <v>34</v>
      </c>
      <c r="J30" s="51"/>
      <c r="K30" s="51"/>
      <c r="L30" s="51"/>
      <c r="M30" s="51"/>
      <c r="N30" s="52"/>
      <c r="O30" s="53" t="s">
        <v>35</v>
      </c>
      <c r="P30" s="53"/>
      <c r="Q30" s="53"/>
      <c r="R30" s="53"/>
      <c r="S30" s="52"/>
    </row>
    <row r="31" customFormat="false" ht="16.5" hidden="false" customHeight="true" outlineLevel="0" collapsed="false">
      <c r="B31" s="54" t="s">
        <v>36</v>
      </c>
      <c r="C31" s="55"/>
      <c r="D31" s="55"/>
      <c r="E31" s="55"/>
      <c r="F31" s="55"/>
      <c r="G31" s="56"/>
      <c r="H31" s="55"/>
      <c r="I31" s="54" t="s">
        <v>36</v>
      </c>
      <c r="J31" s="55"/>
      <c r="K31" s="55"/>
      <c r="L31" s="56"/>
      <c r="M31" s="55"/>
      <c r="N31" s="57"/>
      <c r="O31" s="54" t="s">
        <v>36</v>
      </c>
      <c r="P31" s="55"/>
      <c r="Q31" s="56"/>
      <c r="R31" s="55"/>
      <c r="S31" s="57"/>
    </row>
    <row r="32" customFormat="false" ht="16.5" hidden="false" customHeight="true" outlineLevel="0" collapsed="false">
      <c r="B32" s="58" t="s">
        <v>37</v>
      </c>
      <c r="C32" s="45"/>
      <c r="D32" s="45"/>
      <c r="E32" s="45"/>
      <c r="F32" s="45"/>
      <c r="G32" s="59"/>
      <c r="H32" s="45"/>
      <c r="I32" s="45"/>
      <c r="J32" s="45"/>
      <c r="K32" s="45"/>
      <c r="L32" s="59"/>
      <c r="M32" s="45"/>
      <c r="N32" s="45"/>
      <c r="O32" s="45"/>
      <c r="P32" s="45"/>
      <c r="Q32" s="59"/>
      <c r="R32" s="45"/>
      <c r="S32" s="45"/>
    </row>
    <row r="33" customFormat="false" ht="13.5" hidden="false" customHeight="true" outlineLevel="0" collapsed="false">
      <c r="B33" s="60" t="s">
        <v>38</v>
      </c>
      <c r="C33" s="60"/>
      <c r="D33" s="61"/>
      <c r="E33" s="61"/>
      <c r="F33" s="6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customFormat="false" ht="16.5" hidden="false" customHeight="true" outlineLevel="0" collapsed="false">
      <c r="B34" s="60" t="s">
        <v>39</v>
      </c>
      <c r="C34" s="60"/>
      <c r="D34" s="60"/>
      <c r="E34" s="60"/>
      <c r="F34" s="60"/>
      <c r="G34" s="62"/>
      <c r="H34" s="62"/>
      <c r="I34" s="60"/>
      <c r="J34" s="2"/>
      <c r="K34" s="2"/>
      <c r="L34" s="2"/>
      <c r="M34" s="2"/>
      <c r="N34" s="2"/>
      <c r="O34" s="63"/>
      <c r="P34" s="2"/>
      <c r="Q34" s="2"/>
      <c r="R34" s="64"/>
      <c r="S34" s="2"/>
    </row>
    <row r="35" customFormat="false" ht="16.5" hidden="false" customHeight="true" outlineLevel="0" collapsed="false">
      <c r="B35" s="60" t="s">
        <v>40</v>
      </c>
      <c r="C35" s="60"/>
      <c r="D35" s="60"/>
      <c r="E35" s="60"/>
      <c r="F35" s="60"/>
      <c r="G35" s="62"/>
      <c r="H35" s="62"/>
      <c r="I35" s="60"/>
      <c r="J35" s="2"/>
      <c r="K35" s="2"/>
      <c r="L35" s="2"/>
      <c r="M35" s="2"/>
      <c r="N35" s="2"/>
      <c r="O35" s="2"/>
      <c r="P35" s="2"/>
      <c r="Q35" s="2"/>
      <c r="R35" s="2"/>
      <c r="S35" s="2"/>
    </row>
    <row r="38" customFormat="false" ht="12.75" hidden="false" customHeight="true" outlineLevel="0" collapsed="false">
      <c r="K38" s="65"/>
    </row>
  </sheetData>
  <mergeCells count="33">
    <mergeCell ref="B7:S7"/>
    <mergeCell ref="B8:S8"/>
    <mergeCell ref="B9:S9"/>
    <mergeCell ref="B10:S10"/>
    <mergeCell ref="B11:S11"/>
    <mergeCell ref="B12:S12"/>
    <mergeCell ref="B13:S13"/>
    <mergeCell ref="B14:S14"/>
    <mergeCell ref="B15:S16"/>
    <mergeCell ref="B18:S18"/>
    <mergeCell ref="G20:S20"/>
    <mergeCell ref="D21:E21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I27:N27"/>
    <mergeCell ref="O27:S27"/>
    <mergeCell ref="B29:H29"/>
    <mergeCell ref="I29:M29"/>
    <mergeCell ref="O29:R29"/>
    <mergeCell ref="E30:H30"/>
    <mergeCell ref="I30:M30"/>
    <mergeCell ref="O30:R30"/>
  </mergeCells>
  <printOptions headings="false" gridLines="false" gridLinesSet="true" horizontalCentered="true" verticalCentered="false"/>
  <pageMargins left="0.45" right="0.45" top="0.709722222222222" bottom="0.170138888888889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D16" activeCellId="0" sqref="D16"/>
    </sheetView>
  </sheetViews>
  <sheetFormatPr defaultColWidth="8.6796875" defaultRowHeight="12.75" zeroHeight="false" outlineLevelRow="0" outlineLevelCol="0"/>
  <sheetData>
    <row r="1" customFormat="false" ht="15" hidden="false" customHeight="true" outlineLevel="0" collapsed="false">
      <c r="A1" s="66" t="s">
        <v>41</v>
      </c>
    </row>
    <row r="2" customFormat="false" ht="15" hidden="false" customHeight="true" outlineLevel="0" collapsed="false">
      <c r="A2" s="67" t="s">
        <v>42</v>
      </c>
    </row>
    <row r="3" customFormat="false" ht="15" hidden="false" customHeight="true" outlineLevel="0" collapsed="false">
      <c r="A3" s="66" t="s">
        <v>43</v>
      </c>
    </row>
    <row r="6" customFormat="false" ht="15" hidden="false" customHeight="true" outlineLevel="0" collapsed="false">
      <c r="A6" s="68" t="s">
        <v>44</v>
      </c>
    </row>
    <row r="7" customFormat="false" ht="15" hidden="false" customHeight="true" outlineLevel="0" collapsed="false">
      <c r="A7" s="69" t="s">
        <v>45</v>
      </c>
    </row>
    <row r="8" customFormat="false" ht="15" hidden="false" customHeight="true" outlineLevel="0" collapsed="false">
      <c r="A8" s="69" t="s">
        <v>46</v>
      </c>
    </row>
    <row r="9" customFormat="false" ht="15" hidden="false" customHeight="true" outlineLevel="0" collapsed="false">
      <c r="A9" s="66" t="s">
        <v>47</v>
      </c>
    </row>
    <row r="11" customFormat="false" ht="15" hidden="false" customHeight="true" outlineLevel="0" collapsed="false">
      <c r="A11" s="69" t="s">
        <v>48</v>
      </c>
    </row>
    <row r="12" customFormat="false" ht="15" hidden="false" customHeight="true" outlineLevel="0" collapsed="false">
      <c r="A12" s="69" t="s">
        <v>49</v>
      </c>
    </row>
    <row r="13" customFormat="false" ht="15" hidden="false" customHeight="true" outlineLevel="0" collapsed="false">
      <c r="A13" s="69" t="s">
        <v>50</v>
      </c>
    </row>
    <row r="14" customFormat="false" ht="15" hidden="false" customHeight="true" outlineLevel="0" collapsed="false">
      <c r="A14" s="69" t="s">
        <v>51</v>
      </c>
    </row>
    <row r="15" customFormat="false" ht="15" hidden="false" customHeight="true" outlineLevel="0" collapsed="false">
      <c r="A15" s="69" t="s">
        <v>52</v>
      </c>
    </row>
    <row r="16" customFormat="false" ht="15" hidden="false" customHeight="true" outlineLevel="0" collapsed="false">
      <c r="A16" s="69" t="s">
        <v>53</v>
      </c>
    </row>
    <row r="17" customFormat="false" ht="15" hidden="false" customHeight="true" outlineLevel="0" collapsed="false">
      <c r="A17" s="69" t="s">
        <v>54</v>
      </c>
    </row>
    <row r="18" customFormat="false" ht="15" hidden="false" customHeight="true" outlineLevel="0" collapsed="false">
      <c r="A18" s="69"/>
    </row>
    <row r="19" customFormat="false" ht="15" hidden="false" customHeight="true" outlineLevel="0" collapsed="false">
      <c r="A19" s="69" t="s">
        <v>55</v>
      </c>
    </row>
    <row r="20" customFormat="false" ht="15" hidden="false" customHeight="true" outlineLevel="0" collapsed="false">
      <c r="A20" s="69" t="s">
        <v>56</v>
      </c>
    </row>
    <row r="21" customFormat="false" ht="15" hidden="false" customHeight="true" outlineLevel="0" collapsed="false">
      <c r="A21" s="69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9" activeCellId="0" sqref="C9"/>
    </sheetView>
  </sheetViews>
  <sheetFormatPr defaultColWidth="8.6796875" defaultRowHeight="12.75" zeroHeight="false" outlineLevelRow="0" outlineLevelCol="0"/>
  <cols>
    <col collapsed="false" customWidth="true" hidden="false" outlineLevel="0" max="1" min="1" style="70" width="10.33"/>
    <col collapsed="false" customWidth="true" hidden="false" outlineLevel="0" max="2" min="2" style="70" width="13.56"/>
  </cols>
  <sheetData>
    <row r="1" customFormat="false" ht="12.75" hidden="false" customHeight="true" outlineLevel="0" collapsed="false">
      <c r="A1" s="70" t="s">
        <v>58</v>
      </c>
    </row>
    <row r="2" customFormat="false" ht="12.75" hidden="false" customHeight="true" outlineLevel="0" collapsed="false">
      <c r="B2" s="70" t="s">
        <v>59</v>
      </c>
      <c r="C2" s="71" t="s">
        <v>60</v>
      </c>
    </row>
    <row r="3" customFormat="false" ht="12.75" hidden="false" customHeight="true" outlineLevel="0" collapsed="false">
      <c r="B3" s="70" t="s">
        <v>61</v>
      </c>
      <c r="C3" s="70" t="s">
        <v>62</v>
      </c>
    </row>
    <row r="4" customFormat="false" ht="12.75" hidden="false" customHeight="true" outlineLevel="0" collapsed="false">
      <c r="B4" s="70" t="s">
        <v>63</v>
      </c>
      <c r="C4" s="70" t="s">
        <v>64</v>
      </c>
    </row>
    <row r="5" customFormat="false" ht="12.75" hidden="false" customHeight="true" outlineLevel="0" collapsed="false">
      <c r="B5" s="70" t="s">
        <v>65</v>
      </c>
      <c r="C5" s="70" t="s">
        <v>66</v>
      </c>
    </row>
    <row r="6" customFormat="false" ht="12.75" hidden="false" customHeight="true" outlineLevel="0" collapsed="false">
      <c r="C6" s="70" t="s">
        <v>67</v>
      </c>
    </row>
    <row r="7" customFormat="false" ht="12.75" hidden="false" customHeight="true" outlineLevel="0" collapsed="false">
      <c r="B7" s="70" t="s">
        <v>68</v>
      </c>
      <c r="C7" s="70" t="s">
        <v>69</v>
      </c>
    </row>
    <row r="8" customFormat="false" ht="12.75" hidden="false" customHeight="true" outlineLevel="0" collapsed="false">
      <c r="B8" s="70" t="s">
        <v>70</v>
      </c>
      <c r="C8" s="70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2.75" zeroHeight="false" outlineLevelRow="0" outlineLevelCol="0"/>
  <cols>
    <col collapsed="false" customWidth="true" hidden="false" outlineLevel="0" max="1" min="1" style="70" width="26"/>
    <col collapsed="false" customWidth="true" hidden="false" outlineLevel="0" max="2" min="2" style="70" width="5.56"/>
    <col collapsed="false" customWidth="true" hidden="false" outlineLevel="0" max="3" min="3" style="70" width="61.34"/>
  </cols>
  <sheetData>
    <row r="1" customFormat="false" ht="27" hidden="false" customHeight="true" outlineLevel="0" collapsed="false">
      <c r="A1" s="72" t="s">
        <v>72</v>
      </c>
      <c r="B1" s="73" t="n">
        <v>22</v>
      </c>
      <c r="C1" s="74" t="s">
        <v>73</v>
      </c>
    </row>
    <row r="2" customFormat="false" ht="13.5" hidden="false" customHeight="true" outlineLevel="0" collapsed="false">
      <c r="A2" s="72" t="s">
        <v>74</v>
      </c>
      <c r="B2" s="73" t="n">
        <v>11</v>
      </c>
      <c r="C2" s="74" t="s">
        <v>75</v>
      </c>
    </row>
    <row r="3" customFormat="false" ht="13.5" hidden="false" customHeight="true" outlineLevel="0" collapsed="false">
      <c r="A3" s="75" t="s">
        <v>76</v>
      </c>
      <c r="B3" s="73" t="n">
        <v>11</v>
      </c>
      <c r="C3" s="74" t="s">
        <v>77</v>
      </c>
    </row>
    <row r="4" customFormat="false" ht="13.5" hidden="false" customHeight="true" outlineLevel="0" collapsed="false">
      <c r="A4" s="76" t="s">
        <v>78</v>
      </c>
      <c r="B4" s="73"/>
      <c r="C4" s="77"/>
    </row>
    <row r="5" customFormat="false" ht="13.5" hidden="false" customHeight="true" outlineLevel="0" collapsed="false">
      <c r="A5" s="72" t="s">
        <v>79</v>
      </c>
      <c r="B5" s="73" t="n">
        <v>5</v>
      </c>
      <c r="C5" s="74" t="s">
        <v>80</v>
      </c>
    </row>
    <row r="6" customFormat="false" ht="27" hidden="false" customHeight="true" outlineLevel="0" collapsed="false">
      <c r="A6" s="72" t="s">
        <v>81</v>
      </c>
      <c r="B6" s="73" t="n">
        <v>11</v>
      </c>
      <c r="C6" s="74" t="s">
        <v>82</v>
      </c>
    </row>
    <row r="7" customFormat="false" ht="13.5" hidden="false" customHeight="true" outlineLevel="0" collapsed="false">
      <c r="A7" s="72" t="s">
        <v>83</v>
      </c>
      <c r="B7" s="73" t="n">
        <v>3</v>
      </c>
      <c r="C7" s="74" t="s">
        <v>84</v>
      </c>
    </row>
    <row r="8" customFormat="false" ht="27" hidden="false" customHeight="true" outlineLevel="0" collapsed="false">
      <c r="A8" s="72" t="s">
        <v>85</v>
      </c>
      <c r="B8" s="73" t="n">
        <v>20</v>
      </c>
      <c r="C8" s="74" t="s">
        <v>86</v>
      </c>
    </row>
    <row r="9" customFormat="false" ht="27" hidden="false" customHeight="true" outlineLevel="0" collapsed="false">
      <c r="A9" s="72" t="s">
        <v>87</v>
      </c>
      <c r="B9" s="73" t="n">
        <v>17</v>
      </c>
      <c r="C9" s="74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I1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F26" activeCellId="0" sqref="F26"/>
    </sheetView>
  </sheetViews>
  <sheetFormatPr defaultColWidth="8.6796875" defaultRowHeight="12.75" zeroHeight="false" outlineLevelRow="0" outlineLevelCol="0"/>
  <cols>
    <col collapsed="false" customWidth="true" hidden="false" outlineLevel="0" max="2" min="2" style="70" width="13.22"/>
    <col collapsed="false" customWidth="true" hidden="false" outlineLevel="0" max="7" min="7" style="70" width="10.88"/>
    <col collapsed="false" customWidth="true" hidden="false" outlineLevel="0" max="8" min="8" style="70" width="9.79"/>
  </cols>
  <sheetData>
    <row r="4" customFormat="false" ht="12.75" hidden="false" customHeight="true" outlineLevel="0" collapsed="false"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96</v>
      </c>
    </row>
    <row r="5" customFormat="false" ht="12.75" hidden="false" customHeight="true" outlineLevel="0" collapsed="false">
      <c r="B5" s="1" t="s">
        <v>97</v>
      </c>
      <c r="C5" s="1" t="s">
        <v>98</v>
      </c>
      <c r="D5" s="1" t="s">
        <v>99</v>
      </c>
      <c r="E5" s="1" t="s">
        <v>100</v>
      </c>
      <c r="F5" s="70" t="n">
        <v>50000</v>
      </c>
      <c r="G5" s="70" t="n">
        <v>30000</v>
      </c>
      <c r="H5" s="78" t="n">
        <v>44931</v>
      </c>
    </row>
    <row r="6" customFormat="false" ht="12.75" hidden="false" customHeight="true" outlineLevel="0" collapsed="false">
      <c r="B6" s="1" t="s">
        <v>101</v>
      </c>
      <c r="C6" s="1" t="s">
        <v>102</v>
      </c>
      <c r="D6" s="1" t="s">
        <v>103</v>
      </c>
      <c r="E6" s="1" t="s">
        <v>104</v>
      </c>
      <c r="G6" s="70" t="n">
        <v>32000</v>
      </c>
      <c r="H6" s="78" t="n">
        <v>44967</v>
      </c>
      <c r="I6" s="1" t="s">
        <v>105</v>
      </c>
    </row>
    <row r="7" customFormat="false" ht="12.75" hidden="false" customHeight="true" outlineLevel="0" collapsed="false">
      <c r="B7" s="1" t="s">
        <v>106</v>
      </c>
      <c r="C7" s="1" t="s">
        <v>107</v>
      </c>
      <c r="D7" s="1" t="s">
        <v>99</v>
      </c>
      <c r="E7" s="1" t="s">
        <v>100</v>
      </c>
      <c r="F7" s="70" t="n">
        <v>30000</v>
      </c>
      <c r="G7" s="70" t="n">
        <v>27000</v>
      </c>
      <c r="H7" s="78" t="n">
        <v>44990</v>
      </c>
    </row>
    <row r="8" customFormat="false" ht="12.75" hidden="false" customHeight="true" outlineLevel="0" collapsed="false">
      <c r="B8" s="1" t="s">
        <v>108</v>
      </c>
      <c r="C8" s="1" t="s">
        <v>109</v>
      </c>
      <c r="D8" s="1" t="s">
        <v>103</v>
      </c>
      <c r="E8" s="1" t="s">
        <v>110</v>
      </c>
      <c r="F8" s="70" t="n">
        <v>25000</v>
      </c>
      <c r="G8" s="70" t="n">
        <v>24000</v>
      </c>
      <c r="H8" s="78" t="n">
        <v>44982</v>
      </c>
      <c r="I8" s="1" t="s">
        <v>111</v>
      </c>
    </row>
    <row r="9" customFormat="false" ht="12.75" hidden="false" customHeight="true" outlineLevel="0" collapsed="false">
      <c r="B9" s="1" t="s">
        <v>112</v>
      </c>
      <c r="C9" s="1" t="s">
        <v>113</v>
      </c>
      <c r="D9" s="1" t="s">
        <v>99</v>
      </c>
      <c r="E9" s="1" t="s">
        <v>114</v>
      </c>
      <c r="F9" s="70" t="n">
        <v>21000</v>
      </c>
      <c r="G9" s="70" t="n">
        <v>21000</v>
      </c>
      <c r="H9" s="78" t="n">
        <v>44977</v>
      </c>
      <c r="I9" s="1" t="s">
        <v>105</v>
      </c>
    </row>
    <row r="10" customFormat="false" ht="12.75" hidden="false" customHeight="true" outlineLevel="0" collapsed="false">
      <c r="B10" s="1" t="s">
        <v>115</v>
      </c>
      <c r="C10" s="1" t="s">
        <v>116</v>
      </c>
      <c r="D10" s="1" t="s">
        <v>103</v>
      </c>
      <c r="E10" s="1" t="s">
        <v>104</v>
      </c>
      <c r="F10" s="70" t="n">
        <v>160000</v>
      </c>
      <c r="G10" s="70" t="n">
        <v>17000</v>
      </c>
      <c r="H10" s="78" t="n">
        <v>44967</v>
      </c>
      <c r="I10" s="1" t="s"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2012-08-13T01:00:12Z</dcterms:created>
  <dc:creator>user</dc:creator>
  <dc:description/>
  <dc:language>en-US</dc:language>
  <cp:lastModifiedBy>Richelle Sulit</cp:lastModifiedBy>
  <cp:lastPrinted>2025-10-09T06:46:29Z</cp:lastPrinted>
  <dcterms:modified xsi:type="dcterms:W3CDTF">2026-07-19T16:04:38Z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